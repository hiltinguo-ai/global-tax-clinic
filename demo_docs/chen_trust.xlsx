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  <sheet name="Dividend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<sst xmlns="http://schemas.openxmlformats.org/spreadsheetml/2006/main" count="24" uniqueCount="24">
  <si>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Holding</t>
  </si>
  <si>
    <t xml:space="preserve">Type</t>
  </si>
  <si>
    <t xml:space="preserve">Shares held</t>
  </si>
  <si>
    <t xml:space="preserve">Shares outstanding</t>
  </si>
  <si>
    <t xml:space="preserve">Ownership</t>
  </si>
  <si>
    <t xml:space="preserve">Northline Inc. (NASDAQ-listed, founded by settlor ~20 years ago)</t>
  </si>
  <si>
    <t xml:space="preserve">public company shares</t>
  </si>
  <si>
    <t xml:space="preserve">Money-market sweep (US)</t>
  </si>
  <si>
    <t xml:space="preserve">cash</t>
  </si>
  <si>
    <t xml:space="preserve">Quarter 2026</t>
  </si>
  <si>
    <t xml:space="preserve">Dividend per share USD</t>
  </si>
  <si>
    <t xml:space="preserve">Shares</t>
  </si>
  <si>
    <t xml:space="preserve">Dividend received USD</t>
  </si>
  <si>
    <t xml:space="preserve">Q1</t>
  </si>
  <si>
    <t xml:space="preserve">Q2</t>
  </si>
  <si>
    <t xml:space="preserve">Q3</t>
  </si>
  <si>
    <t xml:space="preserve">Q4</t>
  </si>
  <si>
    <t xml:space="preserve">Total dividends</t>
  </si>
  <si>
    <t xml:space="preserve">Notes &amp; legend</t>
  </si>
  <si>
    <t xml:space="preserve">The Chen Family Trust is a US family trust with Massachusetts situs. The trust is a US person.</t>
  </si>
  <si>
    <t xml:space="preserve">The settlor founded Northline Inc. and took it public about 20 years ago; the trust still owns 8 percent of the listed shares.</t>
  </si>
  <si>
    <t xml:space="preserve">Dividends are paid to the trust each year and partly distributed to beneficiaries.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</si>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</sst>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9600000</v>
      </c>
      <c r="D2" s="3" t="n">
        <v>120000000</v>
      </c>
      <c r="E2" s="4" t="n">
        <f aca="false">C2/D2</f>
        <v>0.08</v>
      </c>
    </row>
    <row r="3" customFormat="false" ht="15" hidden="false" customHeight="false" outlineLevel="0" collapsed="false">
      <c r="A3" s="2" t="s">
        <v>7</v>
      </c>
      <c r="B3" s="2" t="s">
        <v>8</v>
      </c>
      <c r="C3" s="2"/>
      <c r="D3" s="2"/>
      <c r="E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</row>
    <row r="2" customFormat="false" ht="15" hidden="false" customHeight="false" outlineLevel="0" collapsed="false">
      <c r="A2" s="2" t="s">
        <v>13</v>
      </c>
      <c r="B2" s="2" t="n">
        <v>0.22</v>
      </c>
      <c r="C2" s="3" t="n">
        <v>9600000</v>
      </c>
      <c r="D2" s="3" t="n">
        <f aca="false">B2*C2</f>
        <v>2112000</v>
      </c>
    </row>
    <row r="3" customFormat="false" ht="15" hidden="false" customHeight="false" outlineLevel="0" collapsed="false">
      <c r="A3" s="2" t="s">
        <v>14</v>
      </c>
      <c r="B3" s="2" t="n">
        <v>0.22</v>
      </c>
      <c r="C3" s="3" t="n">
        <v>9600000</v>
      </c>
      <c r="D3" s="3" t="n">
        <f aca="false">B3*C3</f>
        <v>2112000</v>
      </c>
    </row>
    <row r="4" customFormat="false" ht="15" hidden="false" customHeight="false" outlineLevel="0" collapsed="false">
      <c r="A4" s="2" t="s">
        <v>15</v>
      </c>
      <c r="B4" s="2" t="n">
        <v>0.23</v>
      </c>
      <c r="C4" s="3" t="n">
        <v>9600000</v>
      </c>
      <c r="D4" s="3" t="n">
        <f aca="false">B4*C4</f>
        <v>2208000</v>
      </c>
    </row>
    <row r="5" customFormat="false" ht="15" hidden="false" customHeight="false" outlineLevel="0" collapsed="false">
      <c r="A5" s="2" t="s">
        <v>16</v>
      </c>
      <c r="B5" s="2" t="n">
        <v>0.23</v>
      </c>
      <c r="C5" s="3" t="n">
        <v>9600000</v>
      </c>
      <c r="D5" s="3" t="n">
        <f aca="false">B5*C5</f>
        <v>2208000</v>
      </c>
    </row>
    <row r="6" customFormat="false" ht="15" hidden="false" customHeight="false" outlineLevel="0" collapsed="false">
      <c r="A6" s="5" t="s">
        <v>17</v>
      </c>
      <c r="B6" s="5"/>
      <c r="C6" s="6"/>
      <c r="D6" s="6" t="n">
        <f aca="false">SUM(D2:D5)</f>
        <v>8640000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7" t="s">
        <v>18</v>
      </c>
    </row>
    <row r="3" customFormat="false" ht="15" hidden="false" customHeight="false" outlineLevel="0" collapsed="false">
      <c r="A3" s="8" t="s">
        <v>19</v>
      </c>
    </row>
    <row r="4" customFormat="false" ht="15" hidden="false" customHeight="false" outlineLevel="0" collapsed="false">
      <c r="A4" s="8" t="s">
        <v>20</v>
      </c>
    </row>
    <row r="5" customFormat="false" ht="15" hidden="false" customHeight="false" outlineLevel="0" collapsed="false">
      <c r="A5" s="8" t="s">
        <v>21</v>
      </c>
    </row>
    <row r="7" customFormat="false" ht="15" hidden="false" customHeight="false" outlineLevel="0" collapsed="false">
      <c r="A7" s="9" t="s">
        <v>22</v>
      </c>
    </row>
    <row r="9" customFormat="false" ht="15" hidden="false" customHeight="false" outlineLevel="0" collapsed="false">
      <c r="A9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