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ldings" sheetId="1" state="visible" r:id="rId3"/>
    <sheet name="Foreign accounts" sheetId="2" state="visible" r:id="rId4"/>
    <sheet name="Dividends" sheetId="3" state="visible" r:id="rId5"/>
    <sheet name="No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<sst xmlns="http://schemas.openxmlformats.org/spreadsheetml/2006/main" count="37" uniqueCount="35">
  <si>
    <t xml:space="preserve">Holding</t>
  </si>
  <si>
    <t xml:space="preserve">Type</t>
  </si>
  <si>
    <t xml:space="preserve">Shares held</t>
  </si>
  <si>
    <t xml:space="preserve">Shares outstanding</t>
  </si>
  <si>
    <t xml:space="preserve">Ownership</t>
  </si>
  <si>
    <t xml:space="preserve">Northline Inc. (NYSE-listed, founded by settlor ~20 years ago)</t>
  </si>
  <si>
    <t xml:space="preserve">public company shares</t>
  </si>
  <si>
    <t xml:space="preserve">Money-market sweep (US)</t>
  </si>
  <si>
    <t xml:space="preserve">cash</t>
  </si>
  <si>
    <t xml:space="preserve">Institution / account</t>
  </si>
  <si>
    <t xml:space="preserve">Country</t>
  </si>
  <si>
    <t xml:space="preserve">Max balance USD (year)</t>
  </si>
  <si>
    <t xml:space="preserve">HSBC Hong Kong bank account</t>
  </si>
  <si>
    <t xml:space="preserve">bank</t>
  </si>
  <si>
    <t xml:space="preserve">Hong Kong</t>
  </si>
  <si>
    <t xml:space="preserve">HK brokerage custody account</t>
  </si>
  <si>
    <t xml:space="preserve">brokerage</t>
  </si>
  <si>
    <t xml:space="preserve">Aggregate maximum</t>
  </si>
  <si>
    <t xml:space="preserve">Quarter 2026</t>
  </si>
  <si>
    <t xml:space="preserve">Dividend per share USD</t>
  </si>
  <si>
    <t xml:space="preserve">Shares</t>
  </si>
  <si>
    <t xml:space="preserve">Dividend received USD</t>
  </si>
  <si>
    <t xml:space="preserve">Q1</t>
  </si>
  <si>
    <t xml:space="preserve">Q2</t>
  </si>
  <si>
    <t xml:space="preserve">Q3</t>
  </si>
  <si>
    <t xml:space="preserve">Q4</t>
  </si>
  <si>
    <t xml:space="preserve">Total dividends</t>
  </si>
  <si>
    <t xml:space="preserve">Notes &amp; legend</t>
  </si>
  <si>
    <t xml:space="preserve">The Chen Family Trust is a US family trust with Massachusetts situs. The trust is a US person.</t>
  </si>
  <si>
    <t xml:space="preserve">The settlor founded Northline Inc. and took it public on the NYSE about 20 years ago; the trust still owns 8 percent of the listed shares.</t>
  </si>
  <si>
    <t xml:space="preserve">Northline Inc. operates in the US, mainland China, Hong Kong, and the EU through local subsidiaries.</t>
  </si>
  <si>
    <t xml:space="preserve">Mr. Chen and his family moved to Hong Kong 10 years ago (2016); he is a US person and a Hong Kong resident.</t>
  </si>
  <si>
    <t xml:space="preserve">Dividends are paid to the trust each year and partly distributed to beneficiaries.</t>
  </si>
  <si>
    <t xml:space="preserve">Legend: edit only the plain rows; bold rows are formula totals and recalculate automatically.</t>
  </si>
  <si>
    <t xml:space="preserve">Synthetic demo data for the Global Tax Clinic (Sundai, 30 Aug 2026). All persons, entities, accounts, and figures are fictional.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</si>
</sst>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name val="Arial"/>
      <family val="0"/>
      <charset val="1"/>
    </font>
    <font>
      <sz val="8"/>
      <color rgb="FF8A939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6C78"/>
        <bgColor rgb="FF008080"/>
      </patternFill>
    </fill>
    <fill>
      <patternFill patternType="solid">
        <fgColor rgb="FFF6E5DA"/>
        <bgColor rgb="FFD3DA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C78"/>
      <rgbColor rgb="FFC0C0C0"/>
      <rgbColor rgb="FF808080"/>
      <rgbColor rgb="FF9999FF"/>
      <rgbColor rgb="FF993366"/>
      <rgbColor rgb="FFF6E5DA"/>
      <rgbColor rgb="FFCCFFFF"/>
      <rgbColor rgb="FF660066"/>
      <rgbColor rgb="FFFF8080"/>
      <rgbColor rgb="FF0066CC"/>
      <rgbColor rgb="FFD3DA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A939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2" t="s">
        <v>6</v>
      </c>
      <c r="C2" s="3" t="n">
        <v>9600000</v>
      </c>
      <c r="D2" s="3" t="n">
        <v>120000000</v>
      </c>
      <c r="E2" s="4" t="n">
        <f aca="false">C2/D2</f>
        <v>0.08</v>
      </c>
    </row>
    <row r="3" customFormat="false" ht="15" hidden="false" customHeight="false" outlineLevel="0" collapsed="false">
      <c r="A3" s="2" t="s">
        <v>7</v>
      </c>
      <c r="B3" s="2" t="s">
        <v>8</v>
      </c>
      <c r="C3" s="2"/>
      <c r="D3" s="2"/>
      <c r="E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1" t="s">
        <v>9</v>
      </c>
      <c r="B1" s="1" t="s">
        <v>1</v>
      </c>
      <c r="C1" s="1" t="s">
        <v>10</v>
      </c>
      <c r="D1" s="1" t="s">
        <v>11</v>
      </c>
    </row>
    <row r="2" customFormat="false" ht="15" hidden="false" customHeight="false" outlineLevel="0" collapsed="false">
      <c r="A2" s="2" t="s">
        <v>12</v>
      </c>
      <c r="B2" s="2" t="s">
        <v>13</v>
      </c>
      <c r="C2" s="2" t="s">
        <v>14</v>
      </c>
      <c r="D2" s="3" t="n">
        <v>250000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14</v>
      </c>
      <c r="D3" s="3" t="n">
        <v>1750000</v>
      </c>
    </row>
    <row r="4" customFormat="false" ht="15" hidden="false" customHeight="false" outlineLevel="0" collapsed="false">
      <c r="A4" s="5" t="s">
        <v>17</v>
      </c>
      <c r="B4" s="5"/>
      <c r="C4" s="5"/>
      <c r="D4" s="6" t="n">
        <f aca="false">SUM(D2:D3)</f>
        <v>2000000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</row>
    <row r="2" customFormat="false" ht="15" hidden="false" customHeight="false" outlineLevel="0" collapsed="false">
      <c r="A2" s="2" t="s">
        <v>22</v>
      </c>
      <c r="B2" s="2" t="n">
        <v>0.22</v>
      </c>
      <c r="C2" s="3" t="n">
        <v>9600000</v>
      </c>
      <c r="D2" s="3" t="n">
        <f aca="false">B2*C2</f>
        <v>2112000</v>
      </c>
    </row>
    <row r="3" customFormat="false" ht="15" hidden="false" customHeight="false" outlineLevel="0" collapsed="false">
      <c r="A3" s="2" t="s">
        <v>23</v>
      </c>
      <c r="B3" s="2" t="n">
        <v>0.22</v>
      </c>
      <c r="C3" s="3" t="n">
        <v>9600000</v>
      </c>
      <c r="D3" s="3" t="n">
        <f aca="false">B3*C3</f>
        <v>2112000</v>
      </c>
    </row>
    <row r="4" customFormat="false" ht="15" hidden="false" customHeight="false" outlineLevel="0" collapsed="false">
      <c r="A4" s="2" t="s">
        <v>24</v>
      </c>
      <c r="B4" s="2" t="n">
        <v>0.23</v>
      </c>
      <c r="C4" s="3" t="n">
        <v>9600000</v>
      </c>
      <c r="D4" s="3" t="n">
        <f aca="false">B4*C4</f>
        <v>2208000</v>
      </c>
    </row>
    <row r="5" customFormat="false" ht="15" hidden="false" customHeight="false" outlineLevel="0" collapsed="false">
      <c r="A5" s="2" t="s">
        <v>25</v>
      </c>
      <c r="B5" s="2" t="n">
        <v>0.23</v>
      </c>
      <c r="C5" s="3" t="n">
        <v>9600000</v>
      </c>
      <c r="D5" s="3" t="n">
        <f aca="false">B5*C5</f>
        <v>2208000</v>
      </c>
    </row>
    <row r="6" customFormat="false" ht="15" hidden="false" customHeight="false" outlineLevel="0" collapsed="false">
      <c r="A6" s="5" t="s">
        <v>26</v>
      </c>
      <c r="B6" s="5"/>
      <c r="C6" s="6"/>
      <c r="D6" s="6" t="n">
        <f aca="false">SUM(D2:D5)</f>
        <v>8640000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7" t="s">
        <v>27</v>
      </c>
    </row>
    <row r="3" customFormat="false" ht="15" hidden="false" customHeight="false" outlineLevel="0" collapsed="false">
      <c r="A3" s="8" t="s">
        <v>28</v>
      </c>
    </row>
    <row r="4" customFormat="false" ht="15" hidden="false" customHeight="false" outlineLevel="0" collapsed="false">
      <c r="A4" s="8" t="s">
        <v>29</v>
      </c>
    </row>
    <row r="5" customFormat="false" ht="15" hidden="false" customHeight="false" outlineLevel="0" collapsed="false">
      <c r="A5" s="8" t="s">
        <v>30</v>
      </c>
    </row>
    <row r="6" customFormat="false" ht="15" hidden="false" customHeight="false" outlineLevel="0" collapsed="false">
      <c r="A6" s="8" t="s">
        <v>31</v>
      </c>
    </row>
    <row r="7" customFormat="false" ht="15" hidden="false" customHeight="false" outlineLevel="0" collapsed="false">
      <c r="A7" s="8" t="s">
        <v>32</v>
      </c>
    </row>
    <row r="9" customFormat="false" ht="15" hidden="false" customHeight="false" outlineLevel="0" collapsed="false">
      <c r="A9" s="9" t="s">
        <v>33</v>
      </c>
    </row>
    <row r="11" customFormat="false" ht="15" hidden="false" customHeight="false" outlineLevel="0" collapsed="false">
      <c r="A11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2026-08-30T23:42:51Z</dcterms:created>
  <dc:creator>openpyxl</dc:creator>
  <dc:description/>
  <dc:language>en-US</dc:language>
  <cp:lastModifiedBy/>
  <dcterms:modified xsi:type="dcterms:W3CDTF">2026-08-30T23:42:51Z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