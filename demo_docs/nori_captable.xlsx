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  <sheet name="Intercompany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<sst xmlns="http://schemas.openxmlformats.org/spreadsheetml/2006/main" count="32" uniqueCount="27">
  <si>
    <t xml:space="preserve">Holder</t>
  </si>
  <si>
    <t xml:space="preserve">Country</t>
  </si>
  <si>
    <t xml:space="preserve">Shares</t>
  </si>
  <si>
    <t xml:space="preserve">Ownership</t>
  </si>
  <si>
    <t xml:space="preserve">Founder A (Chinese founder)</t>
  </si>
  <si>
    <t xml:space="preserve">China</t>
  </si>
  <si>
    <t xml:space="preserve">Founder B (Chinese founder)</t>
  </si>
  <si>
    <t xml:space="preserve">Employee pool</t>
  </si>
  <si>
    <t xml:space="preserve">US</t>
  </si>
  <si>
    <t xml:space="preserve">Seed investors</t>
  </si>
  <si>
    <t xml:space="preserve">Total shares</t>
  </si>
  <si>
    <t xml:space="preserve">Quarter 2026</t>
  </si>
  <si>
    <t xml:space="preserve">Item</t>
  </si>
  <si>
    <t xml:space="preserve">Amount USD</t>
  </si>
  <si>
    <t xml:space="preserve">Q1</t>
  </si>
  <si>
    <t xml:space="preserve">Cost-plus engineering services - Shanghai subsidiary</t>
  </si>
  <si>
    <t xml:space="preserve">Q2</t>
  </si>
  <si>
    <t xml:space="preserve">Q3</t>
  </si>
  <si>
    <t xml:space="preserve">Q4</t>
  </si>
  <si>
    <t xml:space="preserve">Total</t>
  </si>
  <si>
    <t xml:space="preserve">reimbursements to 100% Shanghai subsidiary</t>
  </si>
  <si>
    <t xml:space="preserve">Notes &amp; legend</t>
  </si>
  <si>
    <t xml:space="preserve">Nori Robotics Inc. is a Delaware C-corporation with operations in Massachusetts. The company is a US person.</t>
  </si>
  <si>
    <t xml:space="preserve">The founders are Chinese tax residents and own more than 25 percent. Wholly owned subsidiary in Shanghai, China.</t>
  </si>
  <si>
    <t xml:space="preserve">Unvested founder stock granted 1 August 2026 (83(b) election window open, 30-day deadline).</t>
  </si>
  <si>
    <t xml:space="preserve">Legend: edit only the plain rows; bold rows are formula totals and recalculate automatically.</t>
  </si>
  <si>
    <t xml:space="preserve">Synthetic demo data for the Global Tax Clinic (Sundai, 30 Aug 2026). All persons, entities, accounts, and figures are fictional.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</si>
</sst>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sz val="8"/>
      <color rgb="FF8A939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6C78"/>
        <bgColor rgb="FF008080"/>
      </patternFill>
    </fill>
    <fill>
      <patternFill patternType="solid">
        <fgColor rgb="FFF6E5DA"/>
        <bgColor rgb="FFD3DA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C78"/>
      <rgbColor rgb="FFC0C0C0"/>
      <rgbColor rgb="FF808080"/>
      <rgbColor rgb="FF9999FF"/>
      <rgbColor rgb="FF993366"/>
      <rgbColor rgb="FFF6E5DA"/>
      <rgbColor rgb="FFCCFFFF"/>
      <rgbColor rgb="FF660066"/>
      <rgbColor rgb="FFFF8080"/>
      <rgbColor rgb="FF0066CC"/>
      <rgbColor rgb="FFD3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939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4000000</v>
      </c>
      <c r="D2" s="4" t="n">
        <f aca="false">C2/$C$6</f>
        <v>0.4</v>
      </c>
    </row>
    <row r="3" customFormat="false" ht="15" hidden="false" customHeight="false" outlineLevel="0" collapsed="false">
      <c r="A3" s="2" t="s">
        <v>6</v>
      </c>
      <c r="B3" s="2" t="s">
        <v>5</v>
      </c>
      <c r="C3" s="3" t="n">
        <v>1800000</v>
      </c>
      <c r="D3" s="4" t="n">
        <f aca="false">C3/$C$6</f>
        <v>0.18</v>
      </c>
    </row>
    <row r="4" customFormat="false" ht="15" hidden="false" customHeight="false" outlineLevel="0" collapsed="false">
      <c r="A4" s="2" t="s">
        <v>7</v>
      </c>
      <c r="B4" s="2" t="s">
        <v>8</v>
      </c>
      <c r="C4" s="3" t="n">
        <v>1200000</v>
      </c>
      <c r="D4" s="4" t="n">
        <f aca="false">C4/$C$6</f>
        <v>0.12</v>
      </c>
    </row>
    <row r="5" customFormat="false" ht="15" hidden="false" customHeight="false" outlineLevel="0" collapsed="false">
      <c r="A5" s="2" t="s">
        <v>9</v>
      </c>
      <c r="B5" s="2" t="s">
        <v>8</v>
      </c>
      <c r="C5" s="3" t="n">
        <v>3000000</v>
      </c>
      <c r="D5" s="4" t="n">
        <f aca="false">C5/$C$6</f>
        <v>0.3</v>
      </c>
    </row>
    <row r="6" customFormat="false" ht="15" hidden="false" customHeight="false" outlineLevel="0" collapsed="false">
      <c r="A6" s="5" t="s">
        <v>10</v>
      </c>
      <c r="B6" s="5"/>
      <c r="C6" s="6" t="n">
        <f aca="false">SUM(C2:C5)</f>
        <v>10000000</v>
      </c>
      <c r="D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3" t="n">
        <v>92000</v>
      </c>
    </row>
    <row r="3" customFormat="false" ht="15" hidden="false" customHeight="false" outlineLevel="0" collapsed="false">
      <c r="A3" s="2" t="s">
        <v>16</v>
      </c>
      <c r="B3" s="2" t="s">
        <v>15</v>
      </c>
      <c r="C3" s="3" t="n">
        <v>95000</v>
      </c>
    </row>
    <row r="4" customFormat="false" ht="15" hidden="false" customHeight="false" outlineLevel="0" collapsed="false">
      <c r="A4" s="2" t="s">
        <v>17</v>
      </c>
      <c r="B4" s="2" t="s">
        <v>15</v>
      </c>
      <c r="C4" s="3" t="n">
        <v>96000</v>
      </c>
    </row>
    <row r="5" customFormat="false" ht="15" hidden="false" customHeight="false" outlineLevel="0" collapsed="false">
      <c r="A5" s="2" t="s">
        <v>18</v>
      </c>
      <c r="B5" s="2" t="s">
        <v>15</v>
      </c>
      <c r="C5" s="3" t="n">
        <v>97000</v>
      </c>
    </row>
    <row r="6" customFormat="false" ht="15" hidden="false" customHeight="false" outlineLevel="0" collapsed="false">
      <c r="A6" s="5" t="s">
        <v>19</v>
      </c>
      <c r="B6" s="5" t="s">
        <v>20</v>
      </c>
      <c r="C6" s="6" t="n">
        <f aca="false">SUM(C2:C5)</f>
        <v>380000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7" t="s">
        <v>21</v>
      </c>
    </row>
    <row r="3" customFormat="false" ht="15" hidden="false" customHeight="false" outlineLevel="0" collapsed="false">
      <c r="A3" s="8" t="s">
        <v>22</v>
      </c>
    </row>
    <row r="4" customFormat="false" ht="15" hidden="false" customHeight="false" outlineLevel="0" collapsed="false">
      <c r="A4" s="8" t="s">
        <v>23</v>
      </c>
    </row>
    <row r="5" customFormat="false" ht="15" hidden="false" customHeight="false" outlineLevel="0" collapsed="false">
      <c r="A5" s="8" t="s">
        <v>24</v>
      </c>
    </row>
    <row r="7" customFormat="false" ht="15" hidden="false" customHeight="false" outlineLevel="0" collapsed="false">
      <c r="A7" s="9" t="s">
        <v>25</v>
      </c>
    </row>
    <row r="9" customFormat="false" ht="15" hidden="false" customHeight="false" outlineLevel="0" collapsed="false">
      <c r="A9" s="1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2026-08-30T20:05:33Z</dcterms:created>
  <dc:creator>openpyxl</dc:creator>
  <dc:description/>
  <dc:language>en-US</dc:language>
  <cp:lastModifiedBy/>
  <dcterms:modified xsi:type="dcterms:W3CDTF">2026-08-30T20:05:33Z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