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sales" sheetId="1" state="visible" r:id="rId3"/>
    <sheet name="Payroll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<sst xmlns="http://schemas.openxmlformats.org/spreadsheetml/2006/main" count="30" uniqueCount="30">
  <si>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Month 2026</t>
  </si>
  <si>
    <t xml:space="preserve">Meals sales USD</t>
  </si>
  <si>
    <t xml:space="preserve">Merch sales USD</t>
  </si>
  <si>
    <t xml:space="preserve">MA sales tax 6.25%</t>
  </si>
  <si>
    <t xml:space="preserve">Local meals excise 0.75%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</si>
  <si>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</si>
  <si>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</si>
  <si>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</si>
  <si>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</si>
  <si>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</si>
  <si>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</si>
  <si>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</si>
  <si>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</si>
  <si>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</si>
  <si>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</si>
  <si>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</si>
  <si>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</si>
  <si>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</si>
  <si>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Role</t>
  </si>
  <si>
    <t xml:space="preserve">Headcount</t>
  </si>
  <si>
    <t xml:space="preserve">Annual payroll USD</t>
  </si>
  <si>
    <t xml:space="preserve">Kitchen</t>
  </si>
  <si>
    <t xml:space="preserve">Waitstaff</t>
  </si>
  <si>
    <t xml:space="preserve">Manager</t>
  </si>
  <si>
    <t xml:space="preserve">Total employees / payroll</t>
  </si>
  <si>
    <t xml:space="preserve">Notes &amp; legend</t>
  </si>
  <si>
    <t xml:space="preserve">Sichuan Garden LLC is a Massachusetts single-member LLC restaurant (Brookline, MA). The company serves meals.</t>
  </si>
  <si>
    <t xml:space="preserve">Owner is a US person. Employees on payroll. Registered on MassTaxConnect for sales, meals, and withholding.</t>
  </si>
  <si>
    <t xml:space="preserve">Legend: edit only the plain rows; bold rows are formula totals and recalculate automatically.</t>
  </si>
  <si>
    <t xml:space="preserve">Synthetic demo data for the Global Tax Clinic (Sundai, 30 Aug 2026). All persons, entities, accounts, and figures are fictional.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</si>
</sst>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sz val="8"/>
      <color rgb="FF8A939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6C78"/>
        <bgColor rgb="FF008080"/>
      </patternFill>
    </fill>
    <fill>
      <patternFill patternType="solid">
        <fgColor rgb="FFF6E5DA"/>
        <bgColor rgb="FFD3DA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A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C78"/>
      <rgbColor rgb="FFC0C0C0"/>
      <rgbColor rgb="FF808080"/>
      <rgbColor rgb="FF9999FF"/>
      <rgbColor rgb="FF993366"/>
      <rgbColor rgb="FFF6E5DA"/>
      <rgbColor rgb="FFCCFFFF"/>
      <rgbColor rgb="FF660066"/>
      <rgbColor rgb="FFFF8080"/>
      <rgbColor rgb="FF0066CC"/>
      <rgbColor rgb="FFD3DA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939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31000</v>
      </c>
      <c r="C2" s="3" t="n">
        <v>4000</v>
      </c>
      <c r="D2" s="3" t="n">
        <f aca="false">B2*0.0625</f>
        <v>1937.5</v>
      </c>
      <c r="E2" s="3" t="n">
        <f aca="false">B2*0.0075</f>
        <v>232.5</v>
      </c>
    </row>
    <row r="3" customFormat="false" ht="15" hidden="false" customHeight="false" outlineLevel="0" collapsed="false">
      <c r="A3" s="2" t="s">
        <v>6</v>
      </c>
      <c r="B3" s="3" t="n">
        <v>31000</v>
      </c>
      <c r="C3" s="3" t="n">
        <v>4000</v>
      </c>
      <c r="D3" s="3" t="n">
        <f aca="false">B3*0.0625</f>
        <v>1937.5</v>
      </c>
      <c r="E3" s="3" t="n">
        <f aca="false">B3*0.0075</f>
        <v>232.5</v>
      </c>
    </row>
    <row r="4" customFormat="false" ht="15" hidden="false" customHeight="false" outlineLevel="0" collapsed="false">
      <c r="A4" s="2" t="s">
        <v>7</v>
      </c>
      <c r="B4" s="3" t="n">
        <v>31000</v>
      </c>
      <c r="C4" s="3" t="n">
        <v>4000</v>
      </c>
      <c r="D4" s="3" t="n">
        <f aca="false">B4*0.0625</f>
        <v>1937.5</v>
      </c>
      <c r="E4" s="3" t="n">
        <f aca="false">B4*0.0075</f>
        <v>232.5</v>
      </c>
    </row>
    <row r="5" customFormat="false" ht="15" hidden="false" customHeight="false" outlineLevel="0" collapsed="false">
      <c r="A5" s="2" t="s">
        <v>8</v>
      </c>
      <c r="B5" s="3" t="n">
        <v>31000</v>
      </c>
      <c r="C5" s="3" t="n">
        <v>4000</v>
      </c>
      <c r="D5" s="3" t="n">
        <f aca="false">B5*0.0625</f>
        <v>1937.5</v>
      </c>
      <c r="E5" s="3" t="n">
        <f aca="false">B5*0.0075</f>
        <v>232.5</v>
      </c>
    </row>
    <row r="6" customFormat="false" ht="15" hidden="false" customHeight="false" outlineLevel="0" collapsed="false">
      <c r="A6" s="2" t="s">
        <v>9</v>
      </c>
      <c r="B6" s="3" t="n">
        <v>31000</v>
      </c>
      <c r="C6" s="3" t="n">
        <v>4000</v>
      </c>
      <c r="D6" s="3" t="n">
        <f aca="false">B6*0.0625</f>
        <v>1937.5</v>
      </c>
      <c r="E6" s="3" t="n">
        <f aca="false">B6*0.0075</f>
        <v>232.5</v>
      </c>
    </row>
    <row r="7" customFormat="false" ht="15" hidden="false" customHeight="false" outlineLevel="0" collapsed="false">
      <c r="A7" s="2" t="s">
        <v>10</v>
      </c>
      <c r="B7" s="3" t="n">
        <v>31000</v>
      </c>
      <c r="C7" s="3" t="n">
        <v>4000</v>
      </c>
      <c r="D7" s="3" t="n">
        <f aca="false">B7*0.0625</f>
        <v>1937.5</v>
      </c>
      <c r="E7" s="3" t="n">
        <f aca="false">B7*0.0075</f>
        <v>232.5</v>
      </c>
    </row>
    <row r="8" customFormat="false" ht="15" hidden="false" customHeight="false" outlineLevel="0" collapsed="false">
      <c r="A8" s="2" t="s">
        <v>11</v>
      </c>
      <c r="B8" s="3" t="n">
        <v>31000</v>
      </c>
      <c r="C8" s="3" t="n">
        <v>4000</v>
      </c>
      <c r="D8" s="3" t="n">
        <f aca="false">B8*0.0625</f>
        <v>1937.5</v>
      </c>
      <c r="E8" s="3" t="n">
        <f aca="false">B8*0.0075</f>
        <v>232.5</v>
      </c>
    </row>
    <row r="9" customFormat="false" ht="15" hidden="false" customHeight="false" outlineLevel="0" collapsed="false">
      <c r="A9" s="2" t="s">
        <v>12</v>
      </c>
      <c r="B9" s="3" t="n">
        <v>31000</v>
      </c>
      <c r="C9" s="3" t="n">
        <v>4000</v>
      </c>
      <c r="D9" s="3" t="n">
        <f aca="false">B9*0.0625</f>
        <v>1937.5</v>
      </c>
      <c r="E9" s="3" t="n">
        <f aca="false">B9*0.0075</f>
        <v>232.5</v>
      </c>
    </row>
    <row r="10" customFormat="false" ht="15" hidden="false" customHeight="false" outlineLevel="0" collapsed="false">
      <c r="A10" s="2" t="s">
        <v>13</v>
      </c>
      <c r="B10" s="3" t="n">
        <v>31000</v>
      </c>
      <c r="C10" s="3" t="n">
        <v>4000</v>
      </c>
      <c r="D10" s="3" t="n">
        <f aca="false">B10*0.0625</f>
        <v>1937.5</v>
      </c>
      <c r="E10" s="3" t="n">
        <f aca="false">B10*0.0075</f>
        <v>232.5</v>
      </c>
    </row>
    <row r="11" customFormat="false" ht="15" hidden="false" customHeight="false" outlineLevel="0" collapsed="false">
      <c r="A11" s="2" t="s">
        <v>14</v>
      </c>
      <c r="B11" s="3" t="n">
        <v>31000</v>
      </c>
      <c r="C11" s="3" t="n">
        <v>4000</v>
      </c>
      <c r="D11" s="3" t="n">
        <f aca="false">B11*0.0625</f>
        <v>1937.5</v>
      </c>
      <c r="E11" s="3" t="n">
        <f aca="false">B11*0.0075</f>
        <v>232.5</v>
      </c>
    </row>
    <row r="12" customFormat="false" ht="15" hidden="false" customHeight="false" outlineLevel="0" collapsed="false">
      <c r="A12" s="2" t="s">
        <v>15</v>
      </c>
      <c r="B12" s="3" t="n">
        <v>31000</v>
      </c>
      <c r="C12" s="3" t="n">
        <v>4000</v>
      </c>
      <c r="D12" s="3" t="n">
        <f aca="false">B12*0.0625</f>
        <v>1937.5</v>
      </c>
      <c r="E12" s="3" t="n">
        <f aca="false">B12*0.0075</f>
        <v>232.5</v>
      </c>
    </row>
    <row r="13" customFormat="false" ht="15" hidden="false" customHeight="false" outlineLevel="0" collapsed="false">
      <c r="A13" s="2" t="s">
        <v>16</v>
      </c>
      <c r="B13" s="3" t="n">
        <v>31000</v>
      </c>
      <c r="C13" s="3" t="n">
        <v>4000</v>
      </c>
      <c r="D13" s="3" t="n">
        <f aca="false">B13*0.0625</f>
        <v>1937.5</v>
      </c>
      <c r="E13" s="3" t="n">
        <f aca="false">B13*0.0075</f>
        <v>232.5</v>
      </c>
    </row>
    <row r="14" customFormat="false" ht="15" hidden="false" customHeight="false" outlineLevel="0" collapsed="false">
      <c r="A14" s="4" t="s">
        <v>17</v>
      </c>
      <c r="B14" s="5" t="n">
        <f aca="false">SUM(B2:B13)</f>
        <v>372000</v>
      </c>
      <c r="C14" s="5" t="n">
        <f aca="false">SUM(C2:C13)</f>
        <v>48000</v>
      </c>
      <c r="D14" s="5" t="n">
        <f aca="false">SUM(D2:D13)</f>
        <v>23250</v>
      </c>
      <c r="E14" s="5" t="n">
        <f aca="false">SUM(E2:E13)</f>
        <v>2790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18</v>
      </c>
      <c r="B1" s="1" t="s">
        <v>19</v>
      </c>
      <c r="C1" s="1" t="s">
        <v>20</v>
      </c>
    </row>
    <row r="2" customFormat="false" ht="15" hidden="false" customHeight="false" outlineLevel="0" collapsed="false">
      <c r="A2" s="2" t="s">
        <v>21</v>
      </c>
      <c r="B2" s="2" t="n">
        <v>6</v>
      </c>
      <c r="C2" s="3" t="n">
        <v>84000</v>
      </c>
    </row>
    <row r="3" customFormat="false" ht="15" hidden="false" customHeight="false" outlineLevel="0" collapsed="false">
      <c r="A3" s="2" t="s">
        <v>22</v>
      </c>
      <c r="B3" s="2" t="n">
        <v>7</v>
      </c>
      <c r="C3" s="3" t="n">
        <v>77000</v>
      </c>
    </row>
    <row r="4" customFormat="false" ht="15" hidden="false" customHeight="false" outlineLevel="0" collapsed="false">
      <c r="A4" s="2" t="s">
        <v>23</v>
      </c>
      <c r="B4" s="2" t="n">
        <v>1</v>
      </c>
      <c r="C4" s="3" t="n">
        <v>24000</v>
      </c>
    </row>
    <row r="5" customFormat="false" ht="15" hidden="false" customHeight="false" outlineLevel="0" collapsed="false">
      <c r="A5" s="4" t="s">
        <v>24</v>
      </c>
      <c r="B5" s="4" t="n">
        <f aca="false">SUM(B2:B4)</f>
        <v>14</v>
      </c>
      <c r="C5" s="5" t="n">
        <f aca="false">SUM(C2:C4)</f>
        <v>185000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6" t="s">
        <v>25</v>
      </c>
    </row>
    <row r="3" customFormat="false" ht="15" hidden="false" customHeight="false" outlineLevel="0" collapsed="false">
      <c r="A3" s="7" t="s">
        <v>26</v>
      </c>
    </row>
    <row r="4" customFormat="false" ht="15" hidden="false" customHeight="false" outlineLevel="0" collapsed="false">
      <c r="A4" s="7" t="s">
        <v>27</v>
      </c>
    </row>
    <row r="6" customFormat="false" ht="15" hidden="false" customHeight="false" outlineLevel="0" collapsed="false">
      <c r="A6" s="8" t="s">
        <v>28</v>
      </c>
    </row>
    <row r="8" customFormat="false" ht="15" hidden="false" customHeight="false" outlineLevel="0" collapsed="false">
      <c r="A8" s="9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2026-08-30T20:05:33Z</dcterms:created>
  <dc:creator>openpyxl</dc:creator>
  <dc:description/>
  <dc:language>en-US</dc:language>
  <cp:lastModifiedBy/>
  <dcterms:modified xsi:type="dcterms:W3CDTF">2026-08-30T20:05:33Z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